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ents/Himan Corp Dropbox/Agence/EN COURS/2026/Mundipharma/JNI/Master/"/>
    </mc:Choice>
  </mc:AlternateContent>
  <xr:revisionPtr revIDLastSave="0" documentId="13_ncr:1_{42AC0142-1AC0-B94E-B21D-40EE50B7525B}" xr6:coauthVersionLast="36" xr6:coauthVersionMax="47" xr10:uidLastSave="{00000000-0000-0000-0000-000000000000}"/>
  <bookViews>
    <workbookView xWindow="420" yWindow="1880" windowWidth="27720" windowHeight="14420" xr2:uid="{00000000-000D-0000-FFFF-FFFF00000000}"/>
  </bookViews>
  <sheets>
    <sheet name="JNI 2026" sheetId="2" r:id="rId1"/>
  </sheets>
  <definedNames>
    <definedName name="_xlnm._FilterDatabase" localSheetId="0" hidden="1">'JNI 2026'!$C$1:$U$11</definedName>
  </definedNames>
  <calcPr calcId="181029"/>
</workbook>
</file>

<file path=xl/calcChain.xml><?xml version="1.0" encoding="utf-8"?>
<calcChain xmlns="http://schemas.openxmlformats.org/spreadsheetml/2006/main">
  <c r="J16" i="2" l="1"/>
  <c r="J20" i="2"/>
  <c r="J18" i="2"/>
  <c r="J17" i="2"/>
  <c r="A13" i="2"/>
  <c r="J19" i="2" l="1"/>
  <c r="X12" i="2"/>
  <c r="W12" i="2"/>
</calcChain>
</file>

<file path=xl/sharedStrings.xml><?xml version="1.0" encoding="utf-8"?>
<sst xmlns="http://schemas.openxmlformats.org/spreadsheetml/2006/main" count="52" uniqueCount="52">
  <si>
    <t>Téléphone</t>
  </si>
  <si>
    <t>Nom de l'événement</t>
  </si>
  <si>
    <t>Adresse</t>
  </si>
  <si>
    <t>Code Postal</t>
  </si>
  <si>
    <t>Ville</t>
  </si>
  <si>
    <t>Grande ville à proximité</t>
  </si>
  <si>
    <t>Local</t>
  </si>
  <si>
    <t>Non local</t>
  </si>
  <si>
    <t>ID_18</t>
  </si>
  <si>
    <t>Titre</t>
  </si>
  <si>
    <t>Civilité</t>
  </si>
  <si>
    <t>Prénom</t>
  </si>
  <si>
    <t>Invité par</t>
  </si>
  <si>
    <t>Adresse e-mail</t>
  </si>
  <si>
    <t>Numéro RPPS</t>
  </si>
  <si>
    <t>Spécialité</t>
  </si>
  <si>
    <t>Politesse</t>
  </si>
  <si>
    <t>Service</t>
  </si>
  <si>
    <t>Établissement</t>
  </si>
  <si>
    <t>NOM</t>
  </si>
  <si>
    <t>Date aller</t>
  </si>
  <si>
    <t>gare de départ aller</t>
  </si>
  <si>
    <t>heure de depart aller</t>
  </si>
  <si>
    <t>heure d'arrivee aller</t>
  </si>
  <si>
    <t>gare d'arrivee aller</t>
  </si>
  <si>
    <t>reference aller</t>
  </si>
  <si>
    <t>date de retour</t>
  </si>
  <si>
    <t>gare de depart retour</t>
  </si>
  <si>
    <t>gare d'arrivée retour</t>
  </si>
  <si>
    <t>heure de depart retour</t>
  </si>
  <si>
    <t>heure d'arrivee retour</t>
  </si>
  <si>
    <t>reference retour</t>
  </si>
  <si>
    <t>moyen de transport aller</t>
  </si>
  <si>
    <t>correspondance aller</t>
  </si>
  <si>
    <t>correspondance retour</t>
  </si>
  <si>
    <t>date de naissance</t>
  </si>
  <si>
    <t>Numéro carte SNCF ou Flying Blue</t>
  </si>
  <si>
    <t>Commentaire</t>
  </si>
  <si>
    <t>Total</t>
  </si>
  <si>
    <t>NB</t>
  </si>
  <si>
    <t>Statut</t>
  </si>
  <si>
    <t>moyen de transport retour</t>
  </si>
  <si>
    <t>Statut transport / Commentaire</t>
  </si>
  <si>
    <t>Annulation</t>
  </si>
  <si>
    <t xml:space="preserve">Bulletin envoyé  </t>
  </si>
  <si>
    <t>Non déclaré</t>
  </si>
  <si>
    <t>Convention</t>
  </si>
  <si>
    <t>En attente</t>
  </si>
  <si>
    <t>Convocation envoyée</t>
  </si>
  <si>
    <t xml:space="preserve">Nuit du 18 juin </t>
  </si>
  <si>
    <t>Nuit du 19 juin</t>
  </si>
  <si>
    <t>membre SPILF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</si>
</sst>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[$-F800]dddd\,\ mmmm\ dd\,\ yyyy"/>
  </numFmts>
  <fonts count="26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57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8"/>
      <name val="Arial"/>
      <family val="2"/>
    </font>
    <font>
      <sz val="11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b/>
      <sz val="11"/>
      <color rgb="FF00000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5D8B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38D6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4" fillId="0" borderId="0" applyNumberForma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 vertical="center"/>
    </xf>
    <xf numFmtId="0" fontId="17" fillId="0" borderId="0" xfId="0" applyFont="1"/>
    <xf numFmtId="0" fontId="17" fillId="36" borderId="11" xfId="0" applyFont="1" applyFill="1" applyBorder="1"/>
    <xf numFmtId="0" fontId="17" fillId="36" borderId="10" xfId="0" applyFont="1" applyFill="1" applyBorder="1"/>
    <xf numFmtId="0" fontId="19" fillId="36" borderId="10" xfId="0" applyFont="1" applyFill="1" applyBorder="1"/>
    <xf numFmtId="0" fontId="19" fillId="36" borderId="10" xfId="0" applyFont="1" applyFill="1" applyBorder="1" applyAlignment="1">
      <alignment horizontal="center"/>
    </xf>
    <xf numFmtId="0" fontId="0" fillId="36" borderId="10" xfId="0" applyFill="1" applyBorder="1" applyAlignment="1">
      <alignment horizontal="center"/>
    </xf>
    <xf numFmtId="164" fontId="17" fillId="36" borderId="10" xfId="0" applyNumberFormat="1" applyFont="1" applyFill="1" applyBorder="1" applyAlignment="1">
      <alignment horizontal="center" vertical="center"/>
    </xf>
    <xf numFmtId="0" fontId="17" fillId="33" borderId="10" xfId="0" applyFont="1" applyFill="1" applyBorder="1"/>
    <xf numFmtId="0" fontId="17" fillId="36" borderId="12" xfId="0" applyFont="1" applyFill="1" applyBorder="1"/>
    <xf numFmtId="0" fontId="0" fillId="40" borderId="16" xfId="0" applyFill="1" applyBorder="1"/>
    <xf numFmtId="0" fontId="0" fillId="40" borderId="16" xfId="0" applyFill="1" applyBorder="1" applyAlignment="1">
      <alignment horizontal="left"/>
    </xf>
    <xf numFmtId="0" fontId="0" fillId="42" borderId="16" xfId="0" applyFill="1" applyBorder="1"/>
    <xf numFmtId="0" fontId="0" fillId="42" borderId="16" xfId="0" applyFill="1" applyBorder="1" applyAlignment="1">
      <alignment horizontal="left"/>
    </xf>
    <xf numFmtId="0" fontId="0" fillId="0" borderId="16" xfId="0" applyBorder="1"/>
    <xf numFmtId="0" fontId="0" fillId="0" borderId="16" xfId="0" applyBorder="1" applyAlignment="1">
      <alignment horizontal="left"/>
    </xf>
    <xf numFmtId="0" fontId="21" fillId="43" borderId="16" xfId="0" applyFont="1" applyFill="1" applyBorder="1"/>
    <xf numFmtId="0" fontId="21" fillId="43" borderId="16" xfId="0" applyFont="1" applyFill="1" applyBorder="1" applyAlignment="1">
      <alignment horizontal="left"/>
    </xf>
    <xf numFmtId="0" fontId="0" fillId="43" borderId="16" xfId="0" applyFill="1" applyBorder="1"/>
    <xf numFmtId="0" fontId="17" fillId="44" borderId="16" xfId="0" applyFont="1" applyFill="1" applyBorder="1"/>
    <xf numFmtId="0" fontId="17" fillId="44" borderId="16" xfId="0" applyFont="1" applyFill="1" applyBorder="1" applyAlignment="1">
      <alignment horizontal="left"/>
    </xf>
    <xf numFmtId="0" fontId="0" fillId="44" borderId="16" xfId="0" applyFill="1" applyBorder="1"/>
    <xf numFmtId="0" fontId="0" fillId="0" borderId="0" xfId="0" applyAlignment="1">
      <alignment horizontal="left"/>
    </xf>
    <xf numFmtId="0" fontId="16" fillId="35" borderId="13" xfId="0" applyFont="1" applyFill="1" applyBorder="1"/>
    <xf numFmtId="0" fontId="16" fillId="35" borderId="14" xfId="0" applyFont="1" applyFill="1" applyBorder="1"/>
    <xf numFmtId="0" fontId="16" fillId="34" borderId="14" xfId="0" applyFont="1" applyFill="1" applyBorder="1"/>
    <xf numFmtId="0" fontId="16" fillId="33" borderId="14" xfId="0" applyFont="1" applyFill="1" applyBorder="1"/>
    <xf numFmtId="0" fontId="16" fillId="33" borderId="14" xfId="0" applyFont="1" applyFill="1" applyBorder="1" applyAlignment="1">
      <alignment horizontal="center"/>
    </xf>
    <xf numFmtId="164" fontId="16" fillId="33" borderId="14" xfId="0" applyNumberFormat="1" applyFont="1" applyFill="1" applyBorder="1" applyAlignment="1">
      <alignment horizontal="center" vertical="center"/>
    </xf>
    <xf numFmtId="0" fontId="16" fillId="0" borderId="14" xfId="0" applyFont="1" applyBorder="1"/>
    <xf numFmtId="0" fontId="16" fillId="38" borderId="14" xfId="0" applyFont="1" applyFill="1" applyBorder="1"/>
    <xf numFmtId="0" fontId="13" fillId="39" borderId="14" xfId="0" applyFont="1" applyFill="1" applyBorder="1"/>
    <xf numFmtId="0" fontId="13" fillId="37" borderId="14" xfId="0" applyFont="1" applyFill="1" applyBorder="1"/>
    <xf numFmtId="0" fontId="16" fillId="0" borderId="15" xfId="0" applyFont="1" applyBorder="1"/>
    <xf numFmtId="0" fontId="16" fillId="0" borderId="0" xfId="0" applyFont="1"/>
    <xf numFmtId="165" fontId="13" fillId="37" borderId="14" xfId="0" applyNumberFormat="1" applyFont="1" applyFill="1" applyBorder="1" applyAlignment="1">
      <alignment horizontal="right"/>
    </xf>
    <xf numFmtId="165" fontId="17" fillId="36" borderId="10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41" borderId="10" xfId="0" applyFill="1" applyBorder="1" applyAlignment="1">
      <alignment vertical="center"/>
    </xf>
    <xf numFmtId="0" fontId="16" fillId="41" borderId="10" xfId="0" applyFont="1" applyFill="1" applyBorder="1" applyAlignment="1">
      <alignment vertical="center"/>
    </xf>
    <xf numFmtId="0" fontId="0" fillId="41" borderId="10" xfId="0" applyFill="1" applyBorder="1" applyAlignment="1">
      <alignment vertical="center" wrapText="1"/>
    </xf>
    <xf numFmtId="20" fontId="0" fillId="41" borderId="10" xfId="0" applyNumberFormat="1" applyFill="1" applyBorder="1" applyAlignment="1">
      <alignment vertical="center"/>
    </xf>
    <xf numFmtId="14" fontId="0" fillId="41" borderId="10" xfId="0" applyNumberFormat="1" applyFill="1" applyBorder="1" applyAlignment="1">
      <alignment vertical="center"/>
    </xf>
    <xf numFmtId="0" fontId="0" fillId="41" borderId="12" xfId="0" applyFill="1" applyBorder="1" applyAlignment="1">
      <alignment vertical="center"/>
    </xf>
    <xf numFmtId="0" fontId="0" fillId="41" borderId="0" xfId="0" applyFill="1" applyAlignment="1">
      <alignment vertical="center"/>
    </xf>
    <xf numFmtId="0" fontId="16" fillId="0" borderId="10" xfId="0" applyFont="1" applyBorder="1" applyAlignment="1">
      <alignment vertical="center"/>
    </xf>
    <xf numFmtId="0" fontId="0" fillId="0" borderId="10" xfId="0" applyBorder="1" applyAlignment="1">
      <alignment vertical="center" wrapText="1"/>
    </xf>
    <xf numFmtId="0" fontId="16" fillId="33" borderId="14" xfId="0" applyFont="1" applyFill="1" applyBorder="1" applyAlignment="1">
      <alignment horizontal="left"/>
    </xf>
    <xf numFmtId="0" fontId="19" fillId="36" borderId="10" xfId="0" applyFont="1" applyFill="1" applyBorder="1" applyAlignment="1">
      <alignment horizontal="left"/>
    </xf>
    <xf numFmtId="0" fontId="16" fillId="0" borderId="11" xfId="0" applyFont="1" applyFill="1" applyBorder="1" applyAlignment="1">
      <alignment vertical="center"/>
    </xf>
    <xf numFmtId="0" fontId="16" fillId="0" borderId="10" xfId="0" applyFont="1" applyFill="1" applyBorder="1" applyAlignment="1">
      <alignment vertical="center"/>
    </xf>
    <xf numFmtId="0" fontId="16" fillId="41" borderId="14" xfId="0" applyFont="1" applyFill="1" applyBorder="1" applyAlignment="1">
      <alignment vertical="center"/>
    </xf>
    <xf numFmtId="0" fontId="22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vertical="center"/>
    </xf>
    <xf numFmtId="0" fontId="23" fillId="0" borderId="10" xfId="0" applyFont="1" applyBorder="1" applyAlignment="1">
      <alignment horizontal="left" vertical="center"/>
    </xf>
    <xf numFmtId="0" fontId="19" fillId="0" borderId="10" xfId="0" applyFont="1" applyFill="1" applyBorder="1" applyAlignment="1">
      <alignment vertical="center" wrapText="1"/>
    </xf>
    <xf numFmtId="0" fontId="23" fillId="0" borderId="10" xfId="0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left" vertical="center"/>
    </xf>
    <xf numFmtId="14" fontId="16" fillId="0" borderId="10" xfId="0" applyNumberFormat="1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16" fontId="0" fillId="41" borderId="10" xfId="0" applyNumberFormat="1" applyFill="1" applyBorder="1" applyAlignment="1">
      <alignment vertical="center" wrapText="1"/>
    </xf>
    <xf numFmtId="21" fontId="0" fillId="41" borderId="10" xfId="0" applyNumberFormat="1" applyFill="1" applyBorder="1" applyAlignment="1">
      <alignment horizontal="center" vertical="center"/>
    </xf>
    <xf numFmtId="20" fontId="0" fillId="41" borderId="10" xfId="0" applyNumberFormat="1" applyFill="1" applyBorder="1" applyAlignment="1">
      <alignment horizontal="center" vertical="center"/>
    </xf>
    <xf numFmtId="0" fontId="24" fillId="0" borderId="0" xfId="43" applyAlignment="1">
      <alignment horizontal="center" vertical="center" wrapText="1"/>
    </xf>
    <xf numFmtId="0" fontId="22" fillId="0" borderId="10" xfId="0" applyFont="1" applyFill="1" applyBorder="1" applyAlignment="1">
      <alignment horizontal="left" vertical="center"/>
    </xf>
    <xf numFmtId="0" fontId="19" fillId="0" borderId="17" xfId="0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24" fillId="0" borderId="10" xfId="43" applyFill="1" applyBorder="1" applyAlignment="1">
      <alignment horizontal="center" vertical="center"/>
    </xf>
    <xf numFmtId="164" fontId="23" fillId="0" borderId="10" xfId="0" applyNumberFormat="1" applyFont="1" applyFill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0" fontId="0" fillId="0" borderId="10" xfId="0" applyFill="1" applyBorder="1" applyAlignment="1">
      <alignment vertical="center" wrapText="1"/>
    </xf>
    <xf numFmtId="21" fontId="0" fillId="0" borderId="10" xfId="0" applyNumberFormat="1" applyFill="1" applyBorder="1" applyAlignment="1">
      <alignment horizontal="center" vertical="center"/>
    </xf>
    <xf numFmtId="20" fontId="0" fillId="0" borderId="10" xfId="0" applyNumberFormat="1" applyFill="1" applyBorder="1" applyAlignment="1">
      <alignment horizontal="center" vertical="center"/>
    </xf>
    <xf numFmtId="20" fontId="0" fillId="0" borderId="10" xfId="0" applyNumberFormat="1" applyFill="1" applyBorder="1" applyAlignment="1">
      <alignment vertical="center"/>
    </xf>
    <xf numFmtId="14" fontId="0" fillId="0" borderId="10" xfId="0" applyNumberFormat="1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24" fillId="0" borderId="10" xfId="43" applyFill="1" applyBorder="1" applyAlignment="1">
      <alignment horizontal="center" vertical="center" wrapText="1"/>
    </xf>
    <xf numFmtId="0" fontId="19" fillId="41" borderId="11" xfId="0" applyFont="1" applyFill="1" applyBorder="1" applyAlignment="1">
      <alignment vertical="center"/>
    </xf>
    <xf numFmtId="0" fontId="0" fillId="41" borderId="11" xfId="0" applyFont="1" applyFill="1" applyBorder="1" applyAlignment="1">
      <alignment vertical="center"/>
    </xf>
    <xf numFmtId="0" fontId="24" fillId="41" borderId="11" xfId="43" applyFill="1" applyBorder="1" applyAlignment="1">
      <alignment vertical="center"/>
    </xf>
    <xf numFmtId="0" fontId="25" fillId="0" borderId="10" xfId="0" applyFont="1" applyFill="1" applyBorder="1" applyAlignment="1">
      <alignment vertical="center" wrapText="1"/>
    </xf>
    <xf numFmtId="14" fontId="16" fillId="0" borderId="10" xfId="0" applyNumberFormat="1" applyFont="1" applyFill="1" applyBorder="1" applyAlignment="1">
      <alignment vertical="center"/>
    </xf>
    <xf numFmtId="0" fontId="16" fillId="45" borderId="11" xfId="0" applyFont="1" applyFill="1" applyBorder="1" applyAlignment="1">
      <alignment vertical="center"/>
    </xf>
    <xf numFmtId="0" fontId="16" fillId="45" borderId="10" xfId="0" applyFont="1" applyFill="1" applyBorder="1" applyAlignment="1">
      <alignment vertical="center"/>
    </xf>
    <xf numFmtId="0" fontId="16" fillId="45" borderId="14" xfId="0" applyFont="1" applyFill="1" applyBorder="1" applyAlignment="1">
      <alignment vertical="center"/>
    </xf>
    <xf numFmtId="0" fontId="22" fillId="45" borderId="10" xfId="0" applyFont="1" applyFill="1" applyBorder="1" applyAlignment="1">
      <alignment horizontal="center" vertical="center" wrapText="1"/>
    </xf>
    <xf numFmtId="0" fontId="19" fillId="45" borderId="10" xfId="0" applyFont="1" applyFill="1" applyBorder="1" applyAlignment="1">
      <alignment horizontal="left" vertical="center"/>
    </xf>
    <xf numFmtId="0" fontId="22" fillId="45" borderId="10" xfId="0" applyFont="1" applyFill="1" applyBorder="1" applyAlignment="1">
      <alignment horizontal="left" vertical="center"/>
    </xf>
    <xf numFmtId="0" fontId="19" fillId="45" borderId="17" xfId="0" applyFont="1" applyFill="1" applyBorder="1" applyAlignment="1">
      <alignment horizontal="center" vertical="center"/>
    </xf>
    <xf numFmtId="0" fontId="0" fillId="45" borderId="10" xfId="0" applyFont="1" applyFill="1" applyBorder="1" applyAlignment="1">
      <alignment horizontal="center" vertical="center"/>
    </xf>
    <xf numFmtId="0" fontId="24" fillId="45" borderId="10" xfId="43" applyFill="1" applyBorder="1" applyAlignment="1">
      <alignment horizontal="center" vertical="center"/>
    </xf>
    <xf numFmtId="0" fontId="19" fillId="45" borderId="10" xfId="0" applyFont="1" applyFill="1" applyBorder="1" applyAlignment="1">
      <alignment vertical="center" wrapText="1"/>
    </xf>
    <xf numFmtId="164" fontId="23" fillId="45" borderId="10" xfId="0" applyNumberFormat="1" applyFont="1" applyFill="1" applyBorder="1" applyAlignment="1">
      <alignment horizontal="center" vertical="center"/>
    </xf>
    <xf numFmtId="0" fontId="0" fillId="45" borderId="10" xfId="0" applyFill="1" applyBorder="1" applyAlignment="1">
      <alignment vertical="center"/>
    </xf>
    <xf numFmtId="14" fontId="16" fillId="45" borderId="10" xfId="0" applyNumberFormat="1" applyFont="1" applyFill="1" applyBorder="1" applyAlignment="1">
      <alignment vertical="center"/>
    </xf>
    <xf numFmtId="0" fontId="0" fillId="45" borderId="10" xfId="0" applyFill="1" applyBorder="1" applyAlignment="1">
      <alignment vertical="center" wrapText="1"/>
    </xf>
    <xf numFmtId="21" fontId="0" fillId="45" borderId="10" xfId="0" applyNumberFormat="1" applyFill="1" applyBorder="1" applyAlignment="1">
      <alignment horizontal="center" vertical="center"/>
    </xf>
    <xf numFmtId="20" fontId="0" fillId="45" borderId="10" xfId="0" applyNumberFormat="1" applyFill="1" applyBorder="1" applyAlignment="1">
      <alignment horizontal="center" vertical="center"/>
    </xf>
    <xf numFmtId="16" fontId="0" fillId="45" borderId="10" xfId="0" applyNumberFormat="1" applyFill="1" applyBorder="1" applyAlignment="1">
      <alignment vertical="center" wrapText="1"/>
    </xf>
    <xf numFmtId="20" fontId="0" fillId="45" borderId="10" xfId="0" applyNumberFormat="1" applyFill="1" applyBorder="1" applyAlignment="1">
      <alignment vertical="center"/>
    </xf>
    <xf numFmtId="14" fontId="0" fillId="45" borderId="10" xfId="0" applyNumberFormat="1" applyFill="1" applyBorder="1" applyAlignment="1">
      <alignment vertical="center"/>
    </xf>
    <xf numFmtId="0" fontId="0" fillId="45" borderId="12" xfId="0" applyFill="1" applyBorder="1" applyAlignment="1">
      <alignment vertical="center"/>
    </xf>
    <xf numFmtId="0" fontId="0" fillId="45" borderId="0" xfId="0" applyFill="1" applyAlignment="1">
      <alignment vertical="center"/>
    </xf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Hyperlink" xfId="42" xr:uid="{BE16FC5B-1FBE-4642-BA8E-0783A4E2D181}"/>
    <cellStyle name="Insatisfaisant" xfId="7" builtinId="27" customBuiltin="1"/>
    <cellStyle name="Lien hypertexte" xfId="43" builtinId="8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9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165" formatCode="[$-F800]dddd\,\ mmmm\ dd\,\ yyyy"/>
      <fill>
        <patternFill patternType="solid">
          <fgColor indexed="64"/>
          <bgColor rgb="FF7030A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numFmt numFmtId="164" formatCode="00000"/>
      <fill>
        <patternFill patternType="solid">
          <fgColor indexed="64"/>
          <bgColor rgb="FF7030A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7030A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solid">
          <fgColor indexed="64"/>
          <bgColor rgb="FF7030A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9" formatCode="dd/mm/yyyy"/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0000"/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0000"/>
      </font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fill>
        <patternFill patternType="none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000000"/>
        <name val="Calibri"/>
        <family val="2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>
          <fgColor indexed="64"/>
          <bgColor theme="0"/>
        </patternFill>
      </fill>
      <alignment vertical="center" textRotation="0" indent="0" justifyLastLine="0" shrinkToFit="0" readingOrder="0"/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rgb="FF7030A0"/>
        </patternFill>
      </fill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theme="0"/>
        </patternFill>
      </fill>
      <alignment vertical="center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5D8BFF"/>
      <color rgb="FFECD4F3"/>
      <color rgb="FFFF2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2ACEE0-D652-F44E-AFF5-6CA9783A3F4A}" name="Tableau1" displayName="Tableau1" ref="A1:AT12" totalsRowCount="1" headerRowDxfId="97" dataDxfId="95" totalsRowDxfId="93" headerRowBorderDxfId="96" tableBorderDxfId="94" totalsRowBorderDxfId="92">
  <autoFilter ref="A1:AT11" xr:uid="{F32ACEE0-D652-F44E-AFF5-6CA9783A3F4A}"/>
  <sortState ref="A2:AT2">
    <sortCondition ref="I1:I2"/>
  </sortState>
  <tableColumns count="46">
    <tableColumn id="1" xr3:uid="{279FE7E0-06BD-C84B-834E-4124F7AB3314}" name="NB" totalsRowLabel="Total" dataDxfId="91" totalsRowDxfId="45"/>
    <tableColumn id="2" xr3:uid="{5142332C-882F-0A4E-85DD-266789A86636}" name="ID_18" dataDxfId="90" totalsRowDxfId="44"/>
    <tableColumn id="3" xr3:uid="{667A8A52-96FE-F14C-9FC0-6F8C6C916DBF}" name="Invité par" dataDxfId="89" totalsRowDxfId="43"/>
    <tableColumn id="4" xr3:uid="{B388B4A1-06A9-E042-8B8E-A22DA6B2A98B}" name="Nom de l'événement" dataDxfId="88" totalsRowDxfId="42"/>
    <tableColumn id="46" xr3:uid="{712365EC-E500-034C-9792-A6B63D1A7D8E}" name="membre SPILF" dataDxfId="87" totalsRowDxfId="41"/>
    <tableColumn id="43" xr3:uid="{C8FA1B96-5B55-604E-80B5-63DE06F6715D}" name="Statut" dataDxfId="86" totalsRowDxfId="40"/>
    <tableColumn id="48" xr3:uid="{4273E905-415C-1F4C-B407-50E6F6AC0CDA}" name="Convention" dataDxfId="85" totalsRowDxfId="39"/>
    <tableColumn id="5" xr3:uid="{72969731-07F2-D74A-908F-2627E2DE38B3}" name="Titre" dataDxfId="84" totalsRowDxfId="38"/>
    <tableColumn id="6" xr3:uid="{A52E039F-BD41-374C-A17E-E73DC7F05196}" name="Civilité" dataDxfId="83" totalsRowDxfId="37"/>
    <tableColumn id="7" xr3:uid="{5D887878-270F-7A40-9594-5EDC13D066F7}" name="Politesse" dataDxfId="82" totalsRowDxfId="36"/>
    <tableColumn id="8" xr3:uid="{149C184F-D68C-0643-9F34-C392B1758FEF}" name="Prénom" dataDxfId="81" totalsRowDxfId="35"/>
    <tableColumn id="9" xr3:uid="{49A23C34-2A6F-9742-9B06-A5DE09BC5CAD}" name="NOM" dataDxfId="80" totalsRowDxfId="34"/>
    <tableColumn id="10" xr3:uid="{B396A738-ADB1-F548-B8B2-BC5E54B055CC}" name="Spécialité" dataDxfId="79" totalsRowDxfId="33"/>
    <tableColumn id="11" xr3:uid="{01E7EEF3-6E09-F443-BC70-0F4CC254E3B7}" name="Numéro RPPS" dataDxfId="78" totalsRowDxfId="32"/>
    <tableColumn id="12" xr3:uid="{55D3C265-BC4B-714E-80D2-1A7F4EA48E25}" name="Téléphone" dataDxfId="77" totalsRowDxfId="31"/>
    <tableColumn id="13" xr3:uid="{7D1DCA98-E214-1645-B9D5-391C283466DC}" name="Adresse e-mail" dataDxfId="76" totalsRowDxfId="30" dataCellStyle="Lien hypertexte"/>
    <tableColumn id="14" xr3:uid="{A7912E96-588B-3045-AF49-DD4F0692957E}" name="Établissement" dataDxfId="75" totalsRowDxfId="29"/>
    <tableColumn id="15" xr3:uid="{4388BCE4-48C8-9144-A79A-85AF2B6596E5}" name="Service" dataDxfId="74" totalsRowDxfId="28"/>
    <tableColumn id="16" xr3:uid="{9B1E29F3-C160-3645-9BAD-A08224CFE257}" name="Adresse" dataDxfId="73" totalsRowDxfId="27"/>
    <tableColumn id="17" xr3:uid="{161A46AA-EC1A-7C43-948F-B282A176D456}" name="Code Postal" dataDxfId="72" totalsRowDxfId="26"/>
    <tableColumn id="18" xr3:uid="{3F0F1085-5C7C-7A41-A428-C7EAF7529653}" name="Ville" dataDxfId="71" totalsRowDxfId="25"/>
    <tableColumn id="19" xr3:uid="{56F8A684-282E-EB49-AE06-D3E99D07CC55}" name="Grande ville à proximité" dataDxfId="70" totalsRowDxfId="24"/>
    <tableColumn id="20" xr3:uid="{980F453E-3ED9-1A48-B4D2-54B12C6DBA19}" name="Local" totalsRowFunction="sum" dataDxfId="69" totalsRowDxfId="23"/>
    <tableColumn id="21" xr3:uid="{DA4943F7-8645-8941-A9F4-75682B2D9CCF}" name="Non local" totalsRowFunction="sum" dataDxfId="68" totalsRowDxfId="22"/>
    <tableColumn id="47" xr3:uid="{A8FB6F07-5B0B-134A-8D0D-E93D1BF4E0FC}" name="Nuit du 18 juin " dataDxfId="67" totalsRowDxfId="21"/>
    <tableColumn id="49" xr3:uid="{3939246C-EB93-C341-A816-4E27F380B7B2}" name="Nuit du 19 juin" dataDxfId="66" totalsRowDxfId="20"/>
    <tableColumn id="23" xr3:uid="{90FACCEB-58FB-D645-8239-649CBAF6471C}" name="Statut transport / Commentaire" dataDxfId="65" totalsRowDxfId="19"/>
    <tableColumn id="24" xr3:uid="{9F04ED74-788F-A149-A732-BD7647B328DB}" name="Date aller" dataDxfId="64" totalsRowDxfId="18"/>
    <tableColumn id="25" xr3:uid="{47B0B10E-7C0A-F944-B03A-058AD31CB5E5}" name="moyen de transport aller" dataDxfId="63" totalsRowDxfId="17"/>
    <tableColumn id="26" xr3:uid="{65FD6775-979E-2F48-8C08-FC60ED443A2C}" name="gare de départ aller" dataDxfId="62" totalsRowDxfId="16"/>
    <tableColumn id="27" xr3:uid="{DDC16937-8655-244F-BEF4-8EF8AF8C58F5}" name="correspondance aller" dataDxfId="61" totalsRowDxfId="15"/>
    <tableColumn id="28" xr3:uid="{14DF3E69-24D5-704C-844E-E624288AF4D8}" name="gare d'arrivee aller" dataDxfId="60" totalsRowDxfId="14"/>
    <tableColumn id="29" xr3:uid="{6F55475B-ACAF-6349-8DD1-AA47015071BB}" name="heure de depart aller" dataDxfId="59" totalsRowDxfId="13"/>
    <tableColumn id="30" xr3:uid="{D3761147-BF51-D540-A1B4-0C29763C411E}" name="heure d'arrivee aller" dataDxfId="58" totalsRowDxfId="12"/>
    <tableColumn id="31" xr3:uid="{A088F310-9EE2-4240-8997-C1146366FCC4}" name="reference aller" dataDxfId="57" totalsRowDxfId="11"/>
    <tableColumn id="32" xr3:uid="{166CA322-6F4C-A945-98FE-23000A153E0D}" name="date de retour" dataDxfId="56" totalsRowDxfId="10"/>
    <tableColumn id="33" xr3:uid="{199C0BA1-874A-9448-ABA6-AA4B8CEF8421}" name="moyen de transport retour" dataDxfId="55" totalsRowDxfId="9"/>
    <tableColumn id="34" xr3:uid="{A083734F-4C8B-9647-AD7F-13F02C9CBBE3}" name="gare de depart retour" dataDxfId="54" totalsRowDxfId="8"/>
    <tableColumn id="35" xr3:uid="{88CDAD3E-797C-F84D-8FFE-4A40B51BAD00}" name="correspondance retour" dataDxfId="53" totalsRowDxfId="7"/>
    <tableColumn id="36" xr3:uid="{9037B4AA-618A-5F4F-B74C-E3C801E36B65}" name="gare d'arrivée retour" dataDxfId="52" totalsRowDxfId="6"/>
    <tableColumn id="37" xr3:uid="{8085A8AB-A0B3-D846-9253-B1273F39503D}" name="heure de depart retour" dataDxfId="51" totalsRowDxfId="5"/>
    <tableColumn id="38" xr3:uid="{E1C0E285-8B90-FF4C-9780-F6440186B4B9}" name="heure d'arrivee retour" dataDxfId="50" totalsRowDxfId="4"/>
    <tableColumn id="39" xr3:uid="{C4A2CD83-A10A-4A4A-B87D-57FD023E8383}" name="reference retour" dataDxfId="49" totalsRowDxfId="3"/>
    <tableColumn id="40" xr3:uid="{B195E0B5-3458-D84B-BED9-D6A3225E8F8A}" name="date de naissance" dataDxfId="48" totalsRowDxfId="2"/>
    <tableColumn id="41" xr3:uid="{31E7C00D-3DC2-934C-B9D6-F32AFDAEF905}" name="Numéro carte SNCF ou Flying Blue" dataDxfId="47" totalsRowDxfId="1"/>
    <tableColumn id="42" xr3:uid="{4D748329-D874-6844-8CBC-D68095BB9FB4}" name="Commentaire" dataDxfId="46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22"/>
  <sheetViews>
    <sheetView tabSelected="1" zoomScaleNormal="81" workbookViewId="0">
      <pane xSplit="12" topLeftCell="AS1" activePane="topRight" state="frozen"/>
      <selection pane="topRight" activeCell="AT17" sqref="AT17"/>
    </sheetView>
  </sheetViews>
  <sheetFormatPr baseColWidth="10" defaultRowHeight="14" x14ac:dyDescent="0.15"/>
  <cols>
    <col min="1" max="1" width="5.83203125" customWidth="1"/>
    <col min="2" max="2" width="16.1640625" hidden="1" customWidth="1"/>
    <col min="3" max="3" width="24.83203125" hidden="1" customWidth="1"/>
    <col min="4" max="4" width="21.33203125" hidden="1" customWidth="1"/>
    <col min="5" max="7" width="21.33203125" customWidth="1"/>
    <col min="8" max="8" width="7.33203125" customWidth="1"/>
    <col min="9" max="9" width="10.83203125" customWidth="1"/>
    <col min="10" max="10" width="10.5" customWidth="1"/>
    <col min="11" max="11" width="13.6640625" customWidth="1"/>
    <col min="12" max="12" width="21" style="24" customWidth="1"/>
    <col min="13" max="13" width="13.5" customWidth="1"/>
    <col min="14" max="14" width="16.1640625" style="1" bestFit="1" customWidth="1"/>
    <col min="15" max="15" width="14.6640625" style="1" customWidth="1"/>
    <col min="16" max="16" width="44.33203125" customWidth="1"/>
    <col min="17" max="17" width="37.1640625" bestFit="1" customWidth="1"/>
    <col min="18" max="18" width="33" bestFit="1" customWidth="1"/>
    <col min="19" max="19" width="31.5" customWidth="1"/>
    <col min="20" max="20" width="15.6640625" style="2" customWidth="1"/>
    <col min="21" max="21" width="23.33203125" customWidth="1"/>
    <col min="22" max="22" width="27.5" customWidth="1"/>
    <col min="25" max="26" width="6.33203125" customWidth="1"/>
    <col min="27" max="27" width="30.83203125" customWidth="1"/>
    <col min="28" max="28" width="27.5" customWidth="1"/>
    <col min="29" max="29" width="23.83203125" customWidth="1"/>
    <col min="30" max="30" width="30.83203125" customWidth="1"/>
    <col min="31" max="31" width="31.83203125" customWidth="1"/>
    <col min="32" max="32" width="23.83203125" customWidth="1"/>
    <col min="33" max="33" width="20.5" customWidth="1"/>
    <col min="34" max="34" width="19.83203125" customWidth="1"/>
    <col min="35" max="35" width="25.83203125" customWidth="1"/>
    <col min="36" max="36" width="26.6640625" style="39" customWidth="1"/>
    <col min="37" max="37" width="24.33203125" customWidth="1"/>
    <col min="38" max="38" width="22.83203125" customWidth="1"/>
    <col min="39" max="39" width="30.5" customWidth="1"/>
    <col min="40" max="40" width="25.83203125" customWidth="1"/>
    <col min="41" max="41" width="22.1640625" customWidth="1"/>
    <col min="42" max="42" width="21.5" customWidth="1"/>
    <col min="43" max="43" width="39" customWidth="1"/>
    <col min="44" max="44" width="18.1640625" customWidth="1"/>
    <col min="45" max="45" width="33.1640625" customWidth="1"/>
    <col min="46" max="46" width="34.5" bestFit="1" customWidth="1"/>
  </cols>
  <sheetData>
    <row r="1" spans="1:46" s="36" customFormat="1" x14ac:dyDescent="0.15">
      <c r="A1" s="25" t="s">
        <v>39</v>
      </c>
      <c r="B1" s="26" t="s">
        <v>8</v>
      </c>
      <c r="C1" s="26" t="s">
        <v>12</v>
      </c>
      <c r="D1" s="26" t="s">
        <v>1</v>
      </c>
      <c r="E1" s="26" t="s">
        <v>51</v>
      </c>
      <c r="F1" s="26" t="s">
        <v>40</v>
      </c>
      <c r="G1" s="26" t="s">
        <v>46</v>
      </c>
      <c r="H1" s="27" t="s">
        <v>9</v>
      </c>
      <c r="I1" s="27" t="s">
        <v>10</v>
      </c>
      <c r="J1" s="27" t="s">
        <v>16</v>
      </c>
      <c r="K1" s="28" t="s">
        <v>11</v>
      </c>
      <c r="L1" s="49" t="s">
        <v>19</v>
      </c>
      <c r="M1" s="28" t="s">
        <v>15</v>
      </c>
      <c r="N1" s="29" t="s">
        <v>14</v>
      </c>
      <c r="O1" s="29" t="s">
        <v>0</v>
      </c>
      <c r="P1" s="28" t="s">
        <v>13</v>
      </c>
      <c r="Q1" s="28" t="s">
        <v>18</v>
      </c>
      <c r="R1" s="28" t="s">
        <v>17</v>
      </c>
      <c r="S1" s="28" t="s">
        <v>2</v>
      </c>
      <c r="T1" s="30" t="s">
        <v>3</v>
      </c>
      <c r="U1" s="28" t="s">
        <v>4</v>
      </c>
      <c r="V1" s="31" t="s">
        <v>5</v>
      </c>
      <c r="W1" s="32" t="s">
        <v>6</v>
      </c>
      <c r="X1" s="32" t="s">
        <v>7</v>
      </c>
      <c r="Y1" s="33" t="s">
        <v>49</v>
      </c>
      <c r="Z1" s="33" t="s">
        <v>50</v>
      </c>
      <c r="AA1" s="34" t="s">
        <v>42</v>
      </c>
      <c r="AB1" s="34" t="s">
        <v>20</v>
      </c>
      <c r="AC1" s="34" t="s">
        <v>32</v>
      </c>
      <c r="AD1" s="34" t="s">
        <v>21</v>
      </c>
      <c r="AE1" s="34" t="s">
        <v>33</v>
      </c>
      <c r="AF1" s="34" t="s">
        <v>24</v>
      </c>
      <c r="AG1" s="34" t="s">
        <v>22</v>
      </c>
      <c r="AH1" s="34" t="s">
        <v>23</v>
      </c>
      <c r="AI1" s="34" t="s">
        <v>25</v>
      </c>
      <c r="AJ1" s="37" t="s">
        <v>26</v>
      </c>
      <c r="AK1" s="34" t="s">
        <v>41</v>
      </c>
      <c r="AL1" s="34" t="s">
        <v>27</v>
      </c>
      <c r="AM1" s="34" t="s">
        <v>34</v>
      </c>
      <c r="AN1" s="34" t="s">
        <v>28</v>
      </c>
      <c r="AO1" s="34" t="s">
        <v>29</v>
      </c>
      <c r="AP1" s="34" t="s">
        <v>30</v>
      </c>
      <c r="AQ1" s="34" t="s">
        <v>31</v>
      </c>
      <c r="AR1" s="34" t="s">
        <v>35</v>
      </c>
      <c r="AS1" s="34" t="s">
        <v>36</v>
      </c>
      <c r="AT1" s="35" t="s">
        <v>37</v>
      </c>
    </row>
    <row r="2" spans="1:46" s="46" customFormat="1" ht="15" x14ac:dyDescent="0.15">
      <c r="A2" s="51"/>
      <c r="B2" s="52"/>
      <c r="C2" s="52"/>
      <c r="D2" s="52"/>
      <c r="E2" s="47"/>
      <c r="F2" s="52"/>
      <c r="G2" s="53"/>
      <c r="H2" s="54"/>
      <c r="I2" s="41"/>
      <c r="J2" s="47"/>
      <c r="K2" s="52"/>
      <c r="L2" s="55"/>
      <c r="M2" s="59"/>
      <c r="N2" s="61"/>
      <c r="O2" s="56"/>
      <c r="P2" s="65"/>
      <c r="Q2" s="57"/>
      <c r="R2" s="57"/>
      <c r="S2" s="48"/>
      <c r="T2" s="58"/>
      <c r="U2" s="52"/>
      <c r="V2" s="40"/>
      <c r="W2" s="40"/>
      <c r="X2" s="40"/>
      <c r="Y2" s="40"/>
      <c r="Z2" s="40"/>
      <c r="AA2" s="41"/>
      <c r="AB2" s="60"/>
      <c r="AC2" s="47"/>
      <c r="AD2" s="42"/>
      <c r="AE2" s="40"/>
      <c r="AF2" s="42"/>
      <c r="AG2" s="63"/>
      <c r="AH2" s="64"/>
      <c r="AI2" s="42"/>
      <c r="AJ2" s="62"/>
      <c r="AK2" s="40"/>
      <c r="AL2" s="42"/>
      <c r="AM2" s="42"/>
      <c r="AN2" s="42"/>
      <c r="AO2" s="43"/>
      <c r="AP2" s="43"/>
      <c r="AQ2" s="40"/>
      <c r="AR2" s="44"/>
      <c r="AS2" s="40"/>
      <c r="AT2" s="45"/>
    </row>
    <row r="3" spans="1:46" s="46" customFormat="1" ht="15" x14ac:dyDescent="0.15">
      <c r="A3" s="51"/>
      <c r="B3" s="52"/>
      <c r="C3" s="52"/>
      <c r="D3" s="52"/>
      <c r="E3" s="47"/>
      <c r="F3" s="52"/>
      <c r="G3" s="53"/>
      <c r="H3" s="54"/>
      <c r="I3" s="52"/>
      <c r="J3" s="52"/>
      <c r="K3" s="52"/>
      <c r="L3" s="59"/>
      <c r="M3" s="66"/>
      <c r="N3" s="67"/>
      <c r="O3" s="68"/>
      <c r="P3" s="78"/>
      <c r="Q3" s="57"/>
      <c r="R3" s="57"/>
      <c r="S3" s="57"/>
      <c r="T3" s="70"/>
      <c r="U3" s="52"/>
      <c r="V3" s="71"/>
      <c r="W3" s="71"/>
      <c r="X3" s="71"/>
      <c r="Y3" s="40"/>
      <c r="Z3" s="40"/>
      <c r="AA3" s="52"/>
      <c r="AB3" s="60"/>
      <c r="AC3" s="47"/>
      <c r="AD3" s="42"/>
      <c r="AE3" s="40"/>
      <c r="AF3" s="42"/>
      <c r="AG3" s="63"/>
      <c r="AH3" s="64"/>
      <c r="AI3" s="72"/>
      <c r="AJ3" s="62"/>
      <c r="AK3" s="40"/>
      <c r="AL3" s="42"/>
      <c r="AM3" s="72"/>
      <c r="AN3" s="42"/>
      <c r="AO3" s="43"/>
      <c r="AP3" s="43"/>
      <c r="AQ3" s="40"/>
      <c r="AR3" s="76"/>
      <c r="AS3" s="71"/>
      <c r="AT3" s="77"/>
    </row>
    <row r="4" spans="1:46" s="46" customFormat="1" ht="15" x14ac:dyDescent="0.15">
      <c r="A4" s="51"/>
      <c r="B4" s="52"/>
      <c r="C4" s="52"/>
      <c r="D4" s="52"/>
      <c r="E4" s="47"/>
      <c r="F4" s="52"/>
      <c r="G4" s="53"/>
      <c r="H4" s="54"/>
      <c r="I4" s="52"/>
      <c r="J4" s="52"/>
      <c r="K4" s="52"/>
      <c r="L4" s="59"/>
      <c r="M4" s="66"/>
      <c r="N4" s="67"/>
      <c r="O4" s="68"/>
      <c r="P4" s="69"/>
      <c r="Q4" s="57"/>
      <c r="R4" s="57"/>
      <c r="S4" s="57"/>
      <c r="T4" s="70"/>
      <c r="U4" s="52"/>
      <c r="V4" s="71"/>
      <c r="W4" s="71"/>
      <c r="X4" s="71"/>
      <c r="Y4" s="40"/>
      <c r="Z4" s="40"/>
      <c r="AA4" s="52"/>
      <c r="AB4" s="60"/>
      <c r="AC4" s="52"/>
      <c r="AD4" s="72"/>
      <c r="AE4" s="71"/>
      <c r="AF4" s="72"/>
      <c r="AG4" s="73"/>
      <c r="AH4" s="74"/>
      <c r="AI4" s="72"/>
      <c r="AJ4" s="62"/>
      <c r="AK4" s="71"/>
      <c r="AL4" s="72"/>
      <c r="AM4" s="72"/>
      <c r="AN4" s="72"/>
      <c r="AO4" s="75"/>
      <c r="AP4" s="75"/>
      <c r="AQ4" s="71"/>
      <c r="AR4" s="76"/>
      <c r="AS4" s="71"/>
      <c r="AT4" s="77"/>
    </row>
    <row r="5" spans="1:46" s="46" customFormat="1" ht="15" x14ac:dyDescent="0.15">
      <c r="A5" s="51"/>
      <c r="B5" s="52"/>
      <c r="C5" s="52"/>
      <c r="D5" s="52"/>
      <c r="E5" s="47"/>
      <c r="F5" s="52"/>
      <c r="G5" s="53"/>
      <c r="H5" s="54"/>
      <c r="I5" s="41"/>
      <c r="J5" s="47"/>
      <c r="K5" s="52"/>
      <c r="L5" s="59"/>
      <c r="M5" s="66"/>
      <c r="N5" s="67"/>
      <c r="O5" s="68"/>
      <c r="P5" s="69"/>
      <c r="Q5" s="57"/>
      <c r="R5" s="57"/>
      <c r="S5" s="57"/>
      <c r="T5" s="70"/>
      <c r="U5" s="52"/>
      <c r="V5" s="71"/>
      <c r="W5" s="71"/>
      <c r="X5" s="71"/>
      <c r="Y5" s="40"/>
      <c r="Z5" s="40"/>
      <c r="AA5" s="52"/>
      <c r="AB5" s="60"/>
      <c r="AC5" s="52"/>
      <c r="AD5" s="72"/>
      <c r="AE5" s="71"/>
      <c r="AF5" s="72"/>
      <c r="AG5" s="73"/>
      <c r="AH5" s="74"/>
      <c r="AI5" s="72"/>
      <c r="AJ5" s="62"/>
      <c r="AK5" s="71"/>
      <c r="AL5" s="72"/>
      <c r="AM5" s="72"/>
      <c r="AN5" s="72"/>
      <c r="AO5" s="75"/>
      <c r="AP5" s="75"/>
      <c r="AQ5" s="71"/>
      <c r="AR5" s="76"/>
      <c r="AS5" s="71"/>
      <c r="AT5" s="77"/>
    </row>
    <row r="6" spans="1:46" s="46" customFormat="1" ht="15" x14ac:dyDescent="0.15">
      <c r="A6" s="51"/>
      <c r="B6" s="52"/>
      <c r="C6" s="52"/>
      <c r="D6" s="52"/>
      <c r="E6" s="47"/>
      <c r="F6" s="52"/>
      <c r="G6" s="53"/>
      <c r="H6" s="54"/>
      <c r="I6" s="41"/>
      <c r="J6" s="47"/>
      <c r="K6" s="52"/>
      <c r="L6" s="59"/>
      <c r="M6" s="66"/>
      <c r="N6" s="79"/>
      <c r="O6" s="80"/>
      <c r="P6" s="81"/>
      <c r="Q6" s="57"/>
      <c r="R6" s="57"/>
      <c r="S6" s="57"/>
      <c r="T6" s="70"/>
      <c r="U6" s="82"/>
      <c r="V6" s="71"/>
      <c r="W6" s="71"/>
      <c r="X6" s="71"/>
      <c r="Y6" s="40"/>
      <c r="Z6" s="40"/>
      <c r="AA6" s="52"/>
      <c r="AB6" s="60"/>
      <c r="AC6" s="52"/>
      <c r="AD6" s="72"/>
      <c r="AE6" s="71"/>
      <c r="AF6" s="72"/>
      <c r="AG6" s="73"/>
      <c r="AH6" s="74"/>
      <c r="AI6" s="72"/>
      <c r="AJ6" s="62"/>
      <c r="AK6" s="71"/>
      <c r="AL6" s="72"/>
      <c r="AM6" s="72"/>
      <c r="AN6" s="72"/>
      <c r="AO6" s="75"/>
      <c r="AP6" s="75"/>
      <c r="AQ6" s="71"/>
      <c r="AR6" s="76"/>
      <c r="AS6" s="71"/>
      <c r="AT6" s="77"/>
    </row>
    <row r="7" spans="1:46" s="46" customFormat="1" ht="15" x14ac:dyDescent="0.15">
      <c r="A7" s="51"/>
      <c r="B7" s="52"/>
      <c r="C7" s="52"/>
      <c r="D7" s="52"/>
      <c r="E7" s="47"/>
      <c r="F7" s="52"/>
      <c r="G7" s="53"/>
      <c r="H7" s="54"/>
      <c r="I7" s="52"/>
      <c r="J7" s="52"/>
      <c r="K7" s="52"/>
      <c r="L7" s="59"/>
      <c r="M7" s="66"/>
      <c r="N7" s="67"/>
      <c r="O7" s="68"/>
      <c r="P7" s="69"/>
      <c r="Q7" s="57"/>
      <c r="R7" s="57"/>
      <c r="S7" s="57"/>
      <c r="T7" s="70"/>
      <c r="U7" s="52"/>
      <c r="V7" s="71"/>
      <c r="W7" s="71"/>
      <c r="X7" s="71"/>
      <c r="Y7" s="40"/>
      <c r="Z7" s="40"/>
      <c r="AA7" s="52"/>
      <c r="AB7" s="60"/>
      <c r="AC7" s="52"/>
      <c r="AD7" s="72"/>
      <c r="AE7" s="71"/>
      <c r="AF7" s="72"/>
      <c r="AG7" s="73"/>
      <c r="AH7" s="74"/>
      <c r="AI7" s="72"/>
      <c r="AJ7" s="62"/>
      <c r="AK7" s="71"/>
      <c r="AL7" s="72"/>
      <c r="AM7" s="72"/>
      <c r="AN7" s="72"/>
      <c r="AO7" s="75"/>
      <c r="AP7" s="75"/>
      <c r="AQ7" s="71"/>
      <c r="AR7" s="76"/>
      <c r="AS7" s="71"/>
      <c r="AT7" s="77"/>
    </row>
    <row r="8" spans="1:46" s="104" customFormat="1" ht="15" x14ac:dyDescent="0.15">
      <c r="A8" s="84"/>
      <c r="B8" s="85"/>
      <c r="C8" s="85"/>
      <c r="D8" s="85"/>
      <c r="E8" s="85"/>
      <c r="F8" s="85"/>
      <c r="G8" s="86"/>
      <c r="H8" s="87"/>
      <c r="I8" s="85"/>
      <c r="J8" s="85"/>
      <c r="K8" s="85"/>
      <c r="L8" s="88"/>
      <c r="M8" s="89"/>
      <c r="N8" s="90"/>
      <c r="O8" s="91"/>
      <c r="P8" s="92"/>
      <c r="Q8" s="93"/>
      <c r="R8" s="93"/>
      <c r="S8" s="93"/>
      <c r="T8" s="94"/>
      <c r="U8" s="85"/>
      <c r="V8" s="95"/>
      <c r="W8" s="95"/>
      <c r="X8" s="95"/>
      <c r="Y8" s="95"/>
      <c r="Z8" s="95"/>
      <c r="AA8" s="85"/>
      <c r="AB8" s="96"/>
      <c r="AC8" s="85"/>
      <c r="AD8" s="97"/>
      <c r="AE8" s="95"/>
      <c r="AF8" s="97"/>
      <c r="AG8" s="98"/>
      <c r="AH8" s="99"/>
      <c r="AI8" s="97"/>
      <c r="AJ8" s="100"/>
      <c r="AK8" s="95"/>
      <c r="AL8" s="97"/>
      <c r="AM8" s="97"/>
      <c r="AN8" s="97"/>
      <c r="AO8" s="101"/>
      <c r="AP8" s="101"/>
      <c r="AQ8" s="95"/>
      <c r="AR8" s="102"/>
      <c r="AS8" s="95"/>
      <c r="AT8" s="103"/>
    </row>
    <row r="9" spans="1:46" s="46" customFormat="1" ht="15" x14ac:dyDescent="0.15">
      <c r="A9" s="51"/>
      <c r="B9" s="52"/>
      <c r="C9" s="52"/>
      <c r="D9" s="52"/>
      <c r="E9" s="47"/>
      <c r="F9" s="52"/>
      <c r="G9" s="53"/>
      <c r="H9" s="54"/>
      <c r="I9" s="41"/>
      <c r="J9" s="47"/>
      <c r="K9" s="52"/>
      <c r="L9" s="59"/>
      <c r="M9" s="66"/>
      <c r="N9" s="67"/>
      <c r="O9" s="68"/>
      <c r="P9" s="69"/>
      <c r="Q9" s="57"/>
      <c r="R9" s="57"/>
      <c r="S9" s="57"/>
      <c r="T9" s="70"/>
      <c r="U9" s="52"/>
      <c r="V9" s="71"/>
      <c r="W9" s="71"/>
      <c r="X9" s="71"/>
      <c r="Y9" s="40"/>
      <c r="Z9" s="40"/>
      <c r="AA9" s="52"/>
      <c r="AB9" s="60"/>
      <c r="AC9" s="52"/>
      <c r="AD9" s="72"/>
      <c r="AE9" s="71"/>
      <c r="AF9" s="72"/>
      <c r="AG9" s="73"/>
      <c r="AH9" s="74"/>
      <c r="AI9" s="72"/>
      <c r="AJ9" s="62"/>
      <c r="AK9" s="71"/>
      <c r="AL9" s="72"/>
      <c r="AM9" s="72"/>
      <c r="AN9" s="72"/>
      <c r="AO9" s="75"/>
      <c r="AP9" s="75"/>
      <c r="AQ9" s="71"/>
      <c r="AR9" s="76"/>
      <c r="AS9" s="71"/>
      <c r="AT9" s="77"/>
    </row>
    <row r="10" spans="1:46" s="46" customFormat="1" ht="15" x14ac:dyDescent="0.15">
      <c r="A10" s="51"/>
      <c r="B10" s="52"/>
      <c r="C10" s="52"/>
      <c r="D10" s="52"/>
      <c r="E10" s="47"/>
      <c r="F10" s="52"/>
      <c r="G10" s="53"/>
      <c r="H10" s="54"/>
      <c r="I10" s="41"/>
      <c r="J10" s="47"/>
      <c r="K10" s="52"/>
      <c r="L10" s="59"/>
      <c r="M10" s="66"/>
      <c r="N10" s="67"/>
      <c r="O10" s="68"/>
      <c r="P10" s="69"/>
      <c r="Q10" s="57"/>
      <c r="R10" s="57"/>
      <c r="S10" s="57"/>
      <c r="T10" s="70"/>
      <c r="U10" s="52"/>
      <c r="V10" s="71"/>
      <c r="W10" s="71"/>
      <c r="X10" s="71"/>
      <c r="Y10" s="40"/>
      <c r="Z10" s="40"/>
      <c r="AA10" s="52"/>
      <c r="AB10" s="60"/>
      <c r="AC10" s="52"/>
      <c r="AD10" s="72"/>
      <c r="AE10" s="71"/>
      <c r="AF10" s="72"/>
      <c r="AG10" s="73"/>
      <c r="AH10" s="74"/>
      <c r="AI10" s="72"/>
      <c r="AJ10" s="62"/>
      <c r="AK10" s="71"/>
      <c r="AL10" s="72"/>
      <c r="AM10" s="72"/>
      <c r="AN10" s="72"/>
      <c r="AO10" s="75"/>
      <c r="AP10" s="75"/>
      <c r="AQ10" s="71"/>
      <c r="AR10" s="76"/>
      <c r="AS10" s="71"/>
      <c r="AT10" s="77"/>
    </row>
    <row r="11" spans="1:46" s="46" customFormat="1" ht="15" x14ac:dyDescent="0.15">
      <c r="A11" s="51"/>
      <c r="B11" s="52"/>
      <c r="C11" s="52"/>
      <c r="D11" s="52"/>
      <c r="E11" s="47"/>
      <c r="F11" s="52"/>
      <c r="G11" s="53"/>
      <c r="H11" s="54"/>
      <c r="I11" s="52"/>
      <c r="J11" s="52"/>
      <c r="K11" s="52"/>
      <c r="L11" s="59"/>
      <c r="M11" s="66"/>
      <c r="N11" s="67"/>
      <c r="O11" s="68"/>
      <c r="P11" s="69"/>
      <c r="Q11" s="57"/>
      <c r="R11" s="57"/>
      <c r="S11" s="57"/>
      <c r="T11" s="70"/>
      <c r="U11" s="52"/>
      <c r="V11" s="71"/>
      <c r="W11" s="71"/>
      <c r="X11" s="71"/>
      <c r="Y11" s="40"/>
      <c r="Z11" s="40"/>
      <c r="AA11" s="52"/>
      <c r="AB11" s="83"/>
      <c r="AC11" s="52"/>
      <c r="AD11" s="72"/>
      <c r="AE11" s="71"/>
      <c r="AF11" s="72"/>
      <c r="AG11" s="73"/>
      <c r="AH11" s="74"/>
      <c r="AI11" s="72"/>
      <c r="AJ11" s="62"/>
      <c r="AK11" s="71"/>
      <c r="AL11" s="72"/>
      <c r="AM11" s="72"/>
      <c r="AN11" s="72"/>
      <c r="AO11" s="75"/>
      <c r="AP11" s="75"/>
      <c r="AQ11" s="71"/>
      <c r="AR11" s="76"/>
      <c r="AS11" s="71"/>
      <c r="AT11" s="77"/>
    </row>
    <row r="12" spans="1:46" s="3" customFormat="1" x14ac:dyDescent="0.15">
      <c r="A12" s="4" t="s">
        <v>38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0"/>
      <c r="M12" s="6"/>
      <c r="N12" s="7"/>
      <c r="O12" s="8"/>
      <c r="P12" s="6"/>
      <c r="Q12" s="6"/>
      <c r="R12" s="6"/>
      <c r="S12" s="5"/>
      <c r="T12" s="9"/>
      <c r="U12" s="10"/>
      <c r="V12" s="10"/>
      <c r="W12" s="5">
        <f>SUBTOTAL(109,Tableau1[Local])</f>
        <v>0</v>
      </c>
      <c r="X12" s="5">
        <f>SUBTOTAL(109,Tableau1[Non local])</f>
        <v>0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38"/>
      <c r="AK12" s="5"/>
      <c r="AL12" s="5"/>
      <c r="AM12" s="5"/>
      <c r="AN12" s="5"/>
      <c r="AO12" s="5"/>
      <c r="AP12" s="5"/>
      <c r="AQ12" s="5"/>
      <c r="AR12" s="5"/>
      <c r="AS12" s="5"/>
      <c r="AT12" s="11"/>
    </row>
    <row r="13" spans="1:46" x14ac:dyDescent="0.15">
      <c r="A13">
        <f>SUM(A2:A11)</f>
        <v>0</v>
      </c>
    </row>
    <row r="15" spans="1:46" ht="15" thickBot="1" x14ac:dyDescent="0.2"/>
    <row r="16" spans="1:46" ht="15" thickBot="1" x14ac:dyDescent="0.2">
      <c r="F16" s="12" t="s">
        <v>48</v>
      </c>
      <c r="G16" s="12"/>
      <c r="H16" s="13"/>
      <c r="I16" s="12"/>
      <c r="J16" s="12">
        <f>SUMIF($F$2:$F$11, "Convocation envoyée",$A$2:$D$11)</f>
        <v>0</v>
      </c>
    </row>
    <row r="17" spans="6:10" ht="15" thickBot="1" x14ac:dyDescent="0.2">
      <c r="F17" s="14" t="s">
        <v>47</v>
      </c>
      <c r="G17" s="14"/>
      <c r="H17" s="15"/>
      <c r="I17" s="14"/>
      <c r="J17" s="14">
        <f>SUMIF($F$2:$F$11, "En attente",$A$2:$A$11)</f>
        <v>0</v>
      </c>
    </row>
    <row r="18" spans="6:10" ht="15" thickBot="1" x14ac:dyDescent="0.2">
      <c r="F18" s="16" t="s">
        <v>44</v>
      </c>
      <c r="G18" s="16"/>
      <c r="H18" s="17"/>
      <c r="I18" s="16"/>
      <c r="J18" s="16">
        <f>SUMIF($F$2:$F$11, "Bulletin envoyé",$A$2:$A$11)</f>
        <v>0</v>
      </c>
    </row>
    <row r="19" spans="6:10" ht="15" thickBot="1" x14ac:dyDescent="0.2">
      <c r="F19" s="18" t="s">
        <v>45</v>
      </c>
      <c r="G19" s="18"/>
      <c r="H19" s="19"/>
      <c r="I19" s="18"/>
      <c r="J19" s="20">
        <f>SUMIF($F$2:$F$34, "Non déclaré",$A$2:$D$34)</f>
        <v>0</v>
      </c>
    </row>
    <row r="20" spans="6:10" ht="15" thickBot="1" x14ac:dyDescent="0.2">
      <c r="F20" s="21" t="s">
        <v>43</v>
      </c>
      <c r="G20" s="21"/>
      <c r="H20" s="22"/>
      <c r="I20" s="21"/>
      <c r="J20" s="23">
        <f>SUMIF($F$2:$F$11, "Annulation",$A$2:$A$11)</f>
        <v>0</v>
      </c>
    </row>
    <row r="21" spans="6:10" x14ac:dyDescent="0.15">
      <c r="H21" s="24"/>
    </row>
    <row r="22" spans="6:10" x14ac:dyDescent="0.15">
      <c r="H22" s="24"/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404A9FB2F6E2499D90B4C4977BCE19" ma:contentTypeVersion="14" ma:contentTypeDescription="Create a new document." ma:contentTypeScope="" ma:versionID="86d4c9d23e9074151f7da93c23520e9e">
  <xsd:schema xmlns:xsd="http://www.w3.org/2001/XMLSchema" xmlns:xs="http://www.w3.org/2001/XMLSchema" xmlns:p="http://schemas.microsoft.com/office/2006/metadata/properties" xmlns:ns3="fed1533e-5609-4a51-b5e2-2ef27ad531f2" xmlns:ns4="aae5d9db-3484-4ddd-996f-fed6e8f43068" targetNamespace="http://schemas.microsoft.com/office/2006/metadata/properties" ma:root="true" ma:fieldsID="8ab526e4003a45d7d53307915342739d" ns3:_="" ns4:_="">
    <xsd:import namespace="fed1533e-5609-4a51-b5e2-2ef27ad531f2"/>
    <xsd:import namespace="aae5d9db-3484-4ddd-996f-fed6e8f4306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1533e-5609-4a51-b5e2-2ef27ad531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e5d9db-3484-4ddd-996f-fed6e8f4306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5A70941-AA3C-46B7-8B26-BA719B3200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0EA8E91-B34E-432E-919E-5AFECCEC59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d1533e-5609-4a51-b5e2-2ef27ad531f2"/>
    <ds:schemaRef ds:uri="aae5d9db-3484-4ddd-996f-fed6e8f430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BCEA0B-83AA-4FCF-BA5A-10E17888C074}">
  <ds:schemaRefs>
    <ds:schemaRef ds:uri="aae5d9db-3484-4ddd-996f-fed6e8f43068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fed1533e-5609-4a51-b5e2-2ef27ad531f2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4674d5b9-bf03-4d67-af0b-4bcc9f6f6a0f}" enabled="0" method="" siteId="{4674d5b9-bf03-4d67-af0b-4bcc9f6f6a0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JNI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Vergez, Marie</dc:creator>
  <cp:lastModifiedBy>Microsoft Office User</cp:lastModifiedBy>
  <cp:lastPrinted>2023-10-18T14:45:43Z</cp:lastPrinted>
  <dcterms:created xsi:type="dcterms:W3CDTF">2022-03-29T14:16:04Z</dcterms:created>
  <dcterms:modified xsi:type="dcterms:W3CDTF">2026-03-22T19:36:48Z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0x0101005E404A9FB2F6E2499D90B4C4977BCE19</vt:lpwstr>
  </property>
</Properties>
</file>